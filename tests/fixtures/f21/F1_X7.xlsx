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s" sheetId="2" state="visible" r:id="rId2"/>
  </sheets>
  <definedNames>
    <definedName name="_xlnm._FilterDatabase" localSheetId="0" hidden="1">'Inputs'!$A$1:$C$13</definedName>
    <definedName name="_xlnm._FilterDatabase" localSheetId="1" hidden="1">'Calculations'!$A$1:$F$10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Input</t>
        </is>
      </c>
      <c r="B1" s="1" t="inlineStr">
        <is>
          <t>CNY mn / %</t>
        </is>
      </c>
      <c r="C1" s="1" t="inlineStr">
        <is>
          <t>Source</t>
        </is>
      </c>
    </row>
    <row r="2">
      <c r="A2" t="inlineStr">
        <is>
          <t>revenue_2024</t>
        </is>
      </c>
      <c r="B2" t="n">
        <v>285981.22520393</v>
      </c>
      <c r="C2" t="inlineStr">
        <is>
          <t>Annual report p10</t>
        </is>
      </c>
    </row>
    <row r="3">
      <c r="A3" t="inlineStr">
        <is>
          <t>revenue_2023_adjusted</t>
        </is>
      </c>
      <c r="B3" t="n">
        <v>274204.52084797</v>
      </c>
      <c r="C3" t="inlineStr">
        <is>
          <t>Annual report p10</t>
        </is>
      </c>
    </row>
    <row r="4">
      <c r="A4" t="inlineStr">
        <is>
          <t>revenue_2023_original</t>
        </is>
      </c>
      <c r="B4" t="n">
        <v>261427.7830501</v>
      </c>
      <c r="C4" t="inlineStr">
        <is>
          <t>Annual report p10</t>
        </is>
      </c>
    </row>
    <row r="5">
      <c r="A5" t="inlineStr">
        <is>
          <t>parent_2024</t>
        </is>
      </c>
      <c r="B5" t="n">
        <v>18741.12012293</v>
      </c>
      <c r="C5" t="inlineStr">
        <is>
          <t>Annual report p10</t>
        </is>
      </c>
    </row>
    <row r="6">
      <c r="A6" t="inlineStr">
        <is>
          <t>parent_2023</t>
        </is>
      </c>
      <c r="B6" t="n">
        <v>16596.61504587</v>
      </c>
      <c r="C6" t="inlineStr">
        <is>
          <t>Annual report p10</t>
        </is>
      </c>
    </row>
    <row r="7">
      <c r="A7" t="inlineStr">
        <is>
          <t>CFO_2024</t>
        </is>
      </c>
      <c r="B7" t="n">
        <v>26543.08191196</v>
      </c>
      <c r="C7" t="inlineStr">
        <is>
          <t>Annual report p10</t>
        </is>
      </c>
    </row>
    <row r="8">
      <c r="A8" t="inlineStr">
        <is>
          <t>CFO_2023_adjusted</t>
        </is>
      </c>
      <c r="B8" t="n">
        <v>26535.78056836</v>
      </c>
      <c r="C8" t="inlineStr">
        <is>
          <t>Annual report p10</t>
        </is>
      </c>
    </row>
    <row r="9">
      <c r="A9" t="inlineStr">
        <is>
          <t>CFO_2023_original</t>
        </is>
      </c>
      <c r="B9" t="n">
        <v>25262.3762283</v>
      </c>
      <c r="C9" t="inlineStr">
        <is>
          <t>Annual report p10</t>
        </is>
      </c>
    </row>
    <row r="10">
      <c r="A10" t="inlineStr">
        <is>
          <t>warranty_reclass</t>
        </is>
      </c>
      <c r="B10" t="n">
        <v>8328.087511150001</v>
      </c>
      <c r="C10" t="inlineStr">
        <is>
          <t>Annual report p94</t>
        </is>
      </c>
    </row>
    <row r="11">
      <c r="A11" t="inlineStr">
        <is>
          <t>ROE_2024</t>
        </is>
      </c>
      <c r="B11" t="n">
        <v>17.7</v>
      </c>
      <c r="C11" t="inlineStr">
        <is>
          <t>Annual report p11</t>
        </is>
      </c>
    </row>
    <row r="12">
      <c r="A12" t="inlineStr">
        <is>
          <t>ROE_2023_adjusted</t>
        </is>
      </c>
      <c r="B12" t="n">
        <v>17.24</v>
      </c>
      <c r="C12" t="inlineStr">
        <is>
          <t>Annual report p11</t>
        </is>
      </c>
    </row>
    <row r="13">
      <c r="A13" t="inlineStr">
        <is>
          <t>ROE_2023_original</t>
        </is>
      </c>
      <c r="B13" t="n">
        <v>16.85</v>
      </c>
      <c r="C13" t="inlineStr">
        <is>
          <t>Annual report p11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Metric</t>
        </is>
      </c>
      <c r="B1" s="1" t="inlineStr">
        <is>
          <t>Basis</t>
        </is>
      </c>
      <c r="C1" s="1" t="inlineStr">
        <is>
          <t>2024</t>
        </is>
      </c>
      <c r="D1" s="1" t="inlineStr">
        <is>
          <t>2023 comparator</t>
        </is>
      </c>
      <c r="E1" s="1" t="inlineStr">
        <is>
          <t>Formula result (%)</t>
        </is>
      </c>
      <c r="F1" s="1" t="inlineStr">
        <is>
          <t>Rule</t>
        </is>
      </c>
    </row>
    <row r="2">
      <c r="A2" t="inlineStr">
        <is>
          <t>Revenue growth</t>
        </is>
      </c>
      <c r="B2" t="inlineStr">
        <is>
          <t>Original</t>
        </is>
      </c>
      <c r="C2">
        <f>Inputs!B2</f>
        <v/>
      </c>
      <c r="D2">
        <f>Inputs!B4</f>
        <v/>
      </c>
      <c r="E2">
        <f>C2/D2*100-100</f>
        <v/>
      </c>
      <c r="F2" t="inlineStr">
        <is>
          <t>(2024/2023-1)</t>
        </is>
      </c>
    </row>
    <row r="3">
      <c r="A3" t="inlineStr">
        <is>
          <t>Revenue growth</t>
        </is>
      </c>
      <c r="B3" t="inlineStr">
        <is>
          <t>Adjusted</t>
        </is>
      </c>
      <c r="C3">
        <f>Inputs!B2</f>
        <v/>
      </c>
      <c r="D3">
        <f>Inputs!B3</f>
        <v/>
      </c>
      <c r="E3">
        <f>C3/D3*100-100</f>
        <v/>
      </c>
      <c r="F3" t="inlineStr">
        <is>
          <t>(2024/2023-1)</t>
        </is>
      </c>
    </row>
    <row r="4">
      <c r="A4" t="inlineStr">
        <is>
          <t>Parent profit growth</t>
        </is>
      </c>
      <c r="B4" t="inlineStr">
        <is>
          <t>Both</t>
        </is>
      </c>
      <c r="C4">
        <f>Inputs!B5</f>
        <v/>
      </c>
      <c r="D4">
        <f>Inputs!B6</f>
        <v/>
      </c>
      <c r="E4">
        <f>C4/D4*100-100</f>
        <v/>
      </c>
      <c r="F4" t="inlineStr">
        <is>
          <t>same prior-year parent profit</t>
        </is>
      </c>
    </row>
    <row r="5">
      <c r="A5" t="inlineStr">
        <is>
          <t>CFO growth</t>
        </is>
      </c>
      <c r="B5" t="inlineStr">
        <is>
          <t>Original</t>
        </is>
      </c>
      <c r="C5">
        <f>Inputs!B7</f>
        <v/>
      </c>
      <c r="D5">
        <f>Inputs!B9</f>
        <v/>
      </c>
      <c r="E5">
        <f>C5/D5*100-100</f>
        <v/>
      </c>
      <c r="F5" t="inlineStr">
        <is>
          <t>(2024/2023-1)</t>
        </is>
      </c>
    </row>
    <row r="6">
      <c r="A6" t="inlineStr">
        <is>
          <t>CFO growth</t>
        </is>
      </c>
      <c r="B6" t="inlineStr">
        <is>
          <t>Adjusted</t>
        </is>
      </c>
      <c r="C6">
        <f>Inputs!B7</f>
        <v/>
      </c>
      <c r="D6">
        <f>Inputs!B8</f>
        <v/>
      </c>
      <c r="E6">
        <f>C6/D6*100-100</f>
        <v/>
      </c>
      <c r="F6" t="inlineStr">
        <is>
          <t>(2024/2023-1)</t>
        </is>
      </c>
    </row>
    <row r="7">
      <c r="A7" t="inlineStr">
        <is>
          <t>2023 parent net margin</t>
        </is>
      </c>
      <c r="B7" t="inlineStr">
        <is>
          <t>Original</t>
        </is>
      </c>
      <c r="C7">
        <f>Inputs!B6</f>
        <v/>
      </c>
      <c r="D7">
        <f>Inputs!B4</f>
        <v/>
      </c>
      <c r="E7">
        <f>C7/D7*100</f>
        <v/>
      </c>
      <c r="F7" t="inlineStr">
        <is>
          <t>parent profit/revenue</t>
        </is>
      </c>
    </row>
    <row r="8">
      <c r="A8" t="inlineStr">
        <is>
          <t>2023 parent net margin</t>
        </is>
      </c>
      <c r="B8" t="inlineStr">
        <is>
          <t>Adjusted</t>
        </is>
      </c>
      <c r="C8">
        <f>Inputs!B6</f>
        <v/>
      </c>
      <c r="D8">
        <f>Inputs!B3</f>
        <v/>
      </c>
      <c r="E8">
        <f>C8/D8*100</f>
        <v/>
      </c>
      <c r="F8" t="inlineStr">
        <is>
          <t>parent profit/revenue</t>
        </is>
      </c>
    </row>
    <row r="9">
      <c r="A9" t="inlineStr">
        <is>
          <t>2024 parent net margin</t>
        </is>
      </c>
      <c r="B9" t="inlineStr">
        <is>
          <t>Current</t>
        </is>
      </c>
      <c r="C9">
        <f>Inputs!B5</f>
        <v/>
      </c>
      <c r="D9">
        <f>Inputs!B2</f>
        <v/>
      </c>
      <c r="E9">
        <f>C9/D9*100</f>
        <v/>
      </c>
      <c r="F9" t="inlineStr">
        <is>
          <t>parent profit/revenue</t>
        </is>
      </c>
    </row>
    <row r="10">
      <c r="A10" t="inlineStr">
        <is>
          <t>Warranty reclass pp</t>
        </is>
      </c>
      <c r="B10" t="inlineStr">
        <is>
          <t>policy only</t>
        </is>
      </c>
      <c r="C10">
        <f>Inputs!B10</f>
        <v/>
      </c>
      <c r="D10">
        <f>Inputs!B3</f>
        <v/>
      </c>
      <c r="E10">
        <f>C10/D10*100</f>
        <v/>
      </c>
      <c r="F10" t="inlineStr">
        <is>
          <t>Reclass / adjusted 2023 revenue; gross margin and selling expense rate effects opposite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2026-10-08T18:53:02Z</dcterms:created>
  <dcterms:modified xsi:type="dcterms:W3CDTF">2026-10-08T18:53:02Z</dcterms:modified>
</cp:coreProperties>
</file>